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2915" windowHeight="1234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4" i="1"/>
  <c r="B4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9" i="1"/>
  <c r="B20" i="1"/>
  <c r="B21" i="1"/>
  <c r="B22" i="1"/>
</calcChain>
</file>

<file path=xl/sharedStrings.xml><?xml version="1.0" encoding="utf-8"?>
<sst xmlns="http://schemas.openxmlformats.org/spreadsheetml/2006/main" count="22" uniqueCount="21">
  <si>
    <t>[55, 57]</t>
  </si>
  <si>
    <t>[1077.98, 1078.02]</t>
  </si>
  <si>
    <t>[1.5, 3.0]</t>
  </si>
  <si>
    <t>[3.0, 4.0]</t>
  </si>
  <si>
    <t>[1,5, 3,5]</t>
  </si>
  <si>
    <t>[29.75, 30.25]</t>
  </si>
  <si>
    <t>≥ 800 W</t>
  </si>
  <si>
    <t>Retardo DME</t>
  </si>
  <si>
    <t>Frecuencia DME</t>
  </si>
  <si>
    <t>Tiempo de Subida</t>
  </si>
  <si>
    <t>Ancho del Pulso</t>
  </si>
  <si>
    <t>Tiempo de Bajada</t>
  </si>
  <si>
    <t>Separación entre Impulsos</t>
  </si>
  <si>
    <t>Potencia</t>
  </si>
  <si>
    <t>Parámetro</t>
  </si>
  <si>
    <t>Tolerancia</t>
  </si>
  <si>
    <t>Valor Nominal</t>
  </si>
  <si>
    <t>Observaciones</t>
  </si>
  <si>
    <t>N/A</t>
  </si>
  <si>
    <t>Cambio de tarjeta TX Video</t>
  </si>
  <si>
    <t>Cambio de tarjeta TX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</si>
</sst>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A22" zoomScale="70" zoomScaleNormal="70" workbookViewId="0">
      <selection activeCell="F13" sqref="F13"/>
    </sheetView>
  </sheetViews>
  <sheetFormatPr baseColWidth="10" defaultRowHeight="15" x14ac:dyDescent="0.25"/>
  <cols>
    <col min="1" max="1" width="17.28515625" style="1" bestFit="1" customWidth="1"/>
    <col min="2" max="2" width="16.28515625" style="1" bestFit="1" customWidth="1"/>
    <col min="3" max="3" width="23" style="1" bestFit="1" customWidth="1"/>
    <col min="4" max="4" width="22.140625" style="1" bestFit="1" customWidth="1"/>
    <col min="5" max="5" width="20.28515625" style="1" bestFit="1" customWidth="1"/>
    <col min="6" max="6" width="22.140625" style="1" bestFit="1" customWidth="1"/>
    <col min="7" max="7" width="32" style="1" bestFit="1" customWidth="1"/>
    <col min="8" max="8" width="12" style="1" bestFit="1" customWidth="1"/>
    <col min="9" max="9" width="30.5703125" style="1" bestFit="1" customWidth="1"/>
  </cols>
  <sheetData>
    <row r="1" spans="1:9" x14ac:dyDescent="0.25">
      <c r="A1" s="6" t="s">
        <v>14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17</v>
      </c>
    </row>
    <row r="2" spans="1:9" x14ac:dyDescent="0.25">
      <c r="A2" s="6" t="s">
        <v>16</v>
      </c>
      <c r="B2" s="6">
        <v>56</v>
      </c>
      <c r="C2" s="6">
        <v>1078</v>
      </c>
      <c r="D2" s="6">
        <v>2.5</v>
      </c>
      <c r="E2" s="6">
        <v>3.5</v>
      </c>
      <c r="F2" s="6">
        <v>2.5</v>
      </c>
      <c r="G2" s="6">
        <v>30</v>
      </c>
      <c r="H2" s="6">
        <v>1000</v>
      </c>
      <c r="I2" s="6" t="s">
        <v>18</v>
      </c>
    </row>
    <row r="3" spans="1:9" x14ac:dyDescent="0.25">
      <c r="A3" s="6" t="s">
        <v>15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18</v>
      </c>
    </row>
    <row r="4" spans="1:9" x14ac:dyDescent="0.25">
      <c r="A4" s="7">
        <v>42005</v>
      </c>
      <c r="B4" s="3">
        <f ca="1">RAND()*(57-55)+55</f>
        <v>56.809200257880043</v>
      </c>
      <c r="C4" s="3">
        <f ca="1">RAND()*(1078.02-1077.98)+1077.98</f>
        <v>1078.0002566651042</v>
      </c>
      <c r="D4" s="3">
        <f ca="1">RAND()*(3-1.5)+1.5</f>
        <v>2.5074558072079292</v>
      </c>
      <c r="E4" s="3">
        <f ca="1">RAND()*(4-3)+3</f>
        <v>3.1432333496797158</v>
      </c>
      <c r="F4" s="3">
        <f ca="1">RAND()*(3.5-1.5)+1.5</f>
        <v>1.5586633071674674</v>
      </c>
      <c r="G4" s="3">
        <f ca="1">RAND()*(30.25-29.75)+29.75</f>
        <v>29.809751265112642</v>
      </c>
      <c r="H4" s="4">
        <f ca="1">RAND()*(1000-800)+800</f>
        <v>947.75707721595631</v>
      </c>
      <c r="I4" s="2"/>
    </row>
    <row r="5" spans="1:9" x14ac:dyDescent="0.25">
      <c r="A5" s="7">
        <v>42036</v>
      </c>
      <c r="B5" s="3">
        <f t="shared" ref="B4:B68" ca="1" si="0">RAND()*(57-55)+55</f>
        <v>56.965188860704941</v>
      </c>
      <c r="C5" s="3">
        <f t="shared" ref="C5:C68" ca="1" si="1">RAND()*(1078.02-1077.98)+1077.98</f>
        <v>1077.9876377796188</v>
      </c>
      <c r="D5" s="3">
        <f t="shared" ref="D5:D68" ca="1" si="2">RAND()*(3-1.5)+1.5</f>
        <v>2.5455184142821805</v>
      </c>
      <c r="E5" s="3">
        <f t="shared" ref="E5:E68" ca="1" si="3">RAND()*(4-3)+3</f>
        <v>3.7090582878930856</v>
      </c>
      <c r="F5" s="3">
        <f t="shared" ref="F5:F68" ca="1" si="4">RAND()*(3.5-1.5)+1.5</f>
        <v>2.3348545540691035</v>
      </c>
      <c r="G5" s="3">
        <f t="shared" ref="G5:G68" ca="1" si="5">RAND()*(30.25-29.75)+29.75</f>
        <v>29.764404958515961</v>
      </c>
      <c r="H5" s="4">
        <f t="shared" ref="H5:H68" ca="1" si="6">RAND()*(1000-800)+800</f>
        <v>937.05509603510325</v>
      </c>
      <c r="I5" s="2"/>
    </row>
    <row r="6" spans="1:9" x14ac:dyDescent="0.25">
      <c r="A6" s="7">
        <v>42064</v>
      </c>
      <c r="B6" s="3">
        <f t="shared" ca="1" si="0"/>
        <v>56.469170800899754</v>
      </c>
      <c r="C6" s="3">
        <f t="shared" ca="1" si="1"/>
        <v>1077.9894425342868</v>
      </c>
      <c r="D6" s="3">
        <f t="shared" ca="1" si="2"/>
        <v>2.582155824916625</v>
      </c>
      <c r="E6" s="3">
        <f t="shared" ca="1" si="3"/>
        <v>3.2533225977909055</v>
      </c>
      <c r="F6" s="3">
        <f t="shared" ca="1" si="4"/>
        <v>2.6680210025083446</v>
      </c>
      <c r="G6" s="3">
        <f t="shared" ca="1" si="5"/>
        <v>30.062322094721765</v>
      </c>
      <c r="H6" s="4">
        <f t="shared" ca="1" si="6"/>
        <v>926.35961735474916</v>
      </c>
      <c r="I6" s="2"/>
    </row>
    <row r="7" spans="1:9" x14ac:dyDescent="0.25">
      <c r="A7" s="7">
        <v>42095</v>
      </c>
      <c r="B7" s="3">
        <f t="shared" ca="1" si="0"/>
        <v>55.476854511854739</v>
      </c>
      <c r="C7" s="3">
        <f t="shared" ca="1" si="1"/>
        <v>1077.9999546369681</v>
      </c>
      <c r="D7" s="3">
        <f t="shared" ca="1" si="2"/>
        <v>2.6263017021687993</v>
      </c>
      <c r="E7" s="3">
        <f t="shared" ca="1" si="3"/>
        <v>3.6685739776445656</v>
      </c>
      <c r="F7" s="3">
        <f t="shared" ca="1" si="4"/>
        <v>1.6495426472095811</v>
      </c>
      <c r="G7" s="3">
        <f t="shared" ca="1" si="5"/>
        <v>29.985068399987696</v>
      </c>
      <c r="H7" s="4">
        <f t="shared" ca="1" si="6"/>
        <v>816.00869227116982</v>
      </c>
      <c r="I7" s="2"/>
    </row>
    <row r="8" spans="1:9" x14ac:dyDescent="0.25">
      <c r="A8" s="7">
        <v>42125</v>
      </c>
      <c r="B8" s="3">
        <f t="shared" ca="1" si="0"/>
        <v>55.68967882696105</v>
      </c>
      <c r="C8" s="3">
        <f t="shared" ca="1" si="1"/>
        <v>1078.0197751484018</v>
      </c>
      <c r="D8" s="3">
        <f t="shared" ca="1" si="2"/>
        <v>1.8483165074835541</v>
      </c>
      <c r="E8" s="3">
        <f t="shared" ca="1" si="3"/>
        <v>3.498960655575114</v>
      </c>
      <c r="F8" s="3">
        <f t="shared" ca="1" si="4"/>
        <v>1.5762695285561674</v>
      </c>
      <c r="G8" s="3">
        <f t="shared" ca="1" si="5"/>
        <v>29.862687612221094</v>
      </c>
      <c r="H8" s="4">
        <f t="shared" ca="1" si="6"/>
        <v>816.26662157265264</v>
      </c>
      <c r="I8" s="2"/>
    </row>
    <row r="9" spans="1:9" x14ac:dyDescent="0.25">
      <c r="A9" s="7">
        <v>42156</v>
      </c>
      <c r="B9" s="3">
        <f t="shared" ca="1" si="0"/>
        <v>55.130350972924589</v>
      </c>
      <c r="C9" s="3">
        <f t="shared" ca="1" si="1"/>
        <v>1078.002101835343</v>
      </c>
      <c r="D9" s="3">
        <f t="shared" ca="1" si="2"/>
        <v>2.5816175081254773</v>
      </c>
      <c r="E9" s="3">
        <f t="shared" ca="1" si="3"/>
        <v>3.9857981478594864</v>
      </c>
      <c r="F9" s="3">
        <f t="shared" ca="1" si="4"/>
        <v>1.5223858285494325</v>
      </c>
      <c r="G9" s="3">
        <f t="shared" ca="1" si="5"/>
        <v>30.208371765851606</v>
      </c>
      <c r="H9" s="4">
        <f t="shared" ca="1" si="6"/>
        <v>989.77002988173263</v>
      </c>
      <c r="I9" s="2"/>
    </row>
    <row r="10" spans="1:9" x14ac:dyDescent="0.25">
      <c r="A10" s="7">
        <v>42186</v>
      </c>
      <c r="B10" s="3">
        <f t="shared" ca="1" si="0"/>
        <v>55.513520697910252</v>
      </c>
      <c r="C10" s="3">
        <f t="shared" ca="1" si="1"/>
        <v>1077.9927918620135</v>
      </c>
      <c r="D10" s="3">
        <f t="shared" ca="1" si="2"/>
        <v>1.6925317223488281</v>
      </c>
      <c r="E10" s="3">
        <f t="shared" ca="1" si="3"/>
        <v>3.6706832035323949</v>
      </c>
      <c r="F10" s="3">
        <f t="shared" ca="1" si="4"/>
        <v>1.9636725636982315</v>
      </c>
      <c r="G10" s="3">
        <f t="shared" ca="1" si="5"/>
        <v>30.172426696091243</v>
      </c>
      <c r="H10" s="4">
        <f t="shared" ca="1" si="6"/>
        <v>996.46532768162012</v>
      </c>
      <c r="I10" s="2"/>
    </row>
    <row r="11" spans="1:9" x14ac:dyDescent="0.25">
      <c r="A11" s="7">
        <v>42217</v>
      </c>
      <c r="B11" s="3">
        <f t="shared" ca="1" si="0"/>
        <v>56.562035308610142</v>
      </c>
      <c r="C11" s="3">
        <f t="shared" ca="1" si="1"/>
        <v>1077.9818588985697</v>
      </c>
      <c r="D11" s="3">
        <f t="shared" ca="1" si="2"/>
        <v>1.5603079126717592</v>
      </c>
      <c r="E11" s="3">
        <f t="shared" ca="1" si="3"/>
        <v>3.3053469989738633</v>
      </c>
      <c r="F11" s="3">
        <f t="shared" ca="1" si="4"/>
        <v>2.8012343927581371</v>
      </c>
      <c r="G11" s="3">
        <f t="shared" ca="1" si="5"/>
        <v>29.86914085435188</v>
      </c>
      <c r="H11" s="4">
        <f t="shared" ca="1" si="6"/>
        <v>839.17009130748738</v>
      </c>
      <c r="I11" s="2"/>
    </row>
    <row r="12" spans="1:9" x14ac:dyDescent="0.25">
      <c r="A12" s="7">
        <v>42248</v>
      </c>
      <c r="B12" s="3">
        <f t="shared" ca="1" si="0"/>
        <v>56.307755757378864</v>
      </c>
      <c r="C12" s="3">
        <f t="shared" ca="1" si="1"/>
        <v>1078.0004074929539</v>
      </c>
      <c r="D12" s="3">
        <f t="shared" ca="1" si="2"/>
        <v>2.2770724833029692</v>
      </c>
      <c r="E12" s="3">
        <f t="shared" ca="1" si="3"/>
        <v>3.4440129896950569</v>
      </c>
      <c r="F12" s="3">
        <f t="shared" ca="1" si="4"/>
        <v>1.6845975101719828</v>
      </c>
      <c r="G12" s="3">
        <f t="shared" ca="1" si="5"/>
        <v>29.938635424042211</v>
      </c>
      <c r="H12" s="4">
        <f t="shared" ca="1" si="6"/>
        <v>841.93472626744494</v>
      </c>
      <c r="I12" s="2"/>
    </row>
    <row r="13" spans="1:9" x14ac:dyDescent="0.25">
      <c r="A13" s="7">
        <v>42278</v>
      </c>
      <c r="B13" s="3">
        <f t="shared" ca="1" si="0"/>
        <v>56.525095712555526</v>
      </c>
      <c r="C13" s="3">
        <f t="shared" ca="1" si="1"/>
        <v>1078.0098871790221</v>
      </c>
      <c r="D13" s="3">
        <f t="shared" ca="1" si="2"/>
        <v>2.2852547027705317</v>
      </c>
      <c r="E13" s="3">
        <f t="shared" ca="1" si="3"/>
        <v>3.3513272045522902</v>
      </c>
      <c r="F13" s="3">
        <f t="shared" ca="1" si="4"/>
        <v>1.5980566135986938</v>
      </c>
      <c r="G13" s="3">
        <f t="shared" ca="1" si="5"/>
        <v>29.776841234203374</v>
      </c>
      <c r="H13" s="4">
        <f t="shared" ca="1" si="6"/>
        <v>965.76429024256993</v>
      </c>
      <c r="I13" s="2"/>
    </row>
    <row r="14" spans="1:9" x14ac:dyDescent="0.25">
      <c r="A14" s="7">
        <v>42309</v>
      </c>
      <c r="B14" s="3">
        <f t="shared" ca="1" si="0"/>
        <v>56.665237291512931</v>
      </c>
      <c r="C14" s="3">
        <f t="shared" ca="1" si="1"/>
        <v>1077.9890124914657</v>
      </c>
      <c r="D14" s="3">
        <f t="shared" ca="1" si="2"/>
        <v>2.4607863861993762</v>
      </c>
      <c r="E14" s="3">
        <f t="shared" ca="1" si="3"/>
        <v>3.4579348457976535</v>
      </c>
      <c r="F14" s="3">
        <f t="shared" ca="1" si="4"/>
        <v>2.7394809659762274</v>
      </c>
      <c r="G14" s="3">
        <f t="shared" ca="1" si="5"/>
        <v>30.148969818422845</v>
      </c>
      <c r="H14" s="4">
        <f t="shared" ca="1" si="6"/>
        <v>908.67760886154963</v>
      </c>
      <c r="I14" s="2"/>
    </row>
    <row r="15" spans="1:9" x14ac:dyDescent="0.25">
      <c r="A15" s="7">
        <v>42339</v>
      </c>
      <c r="B15" s="3">
        <f t="shared" ca="1" si="0"/>
        <v>55.460963463299954</v>
      </c>
      <c r="C15" s="3">
        <f t="shared" ca="1" si="1"/>
        <v>1078.0160122086347</v>
      </c>
      <c r="D15" s="3">
        <f t="shared" ca="1" si="2"/>
        <v>2.9912234448889619</v>
      </c>
      <c r="E15" s="3">
        <f t="shared" ca="1" si="3"/>
        <v>3.9465094268804353</v>
      </c>
      <c r="F15" s="3">
        <f t="shared" ca="1" si="4"/>
        <v>3.4421636241832569</v>
      </c>
      <c r="G15" s="3">
        <f t="shared" ca="1" si="5"/>
        <v>30.171042728781558</v>
      </c>
      <c r="H15" s="4">
        <f t="shared" ca="1" si="6"/>
        <v>883.58699149225367</v>
      </c>
      <c r="I15" s="2"/>
    </row>
    <row r="16" spans="1:9" x14ac:dyDescent="0.25">
      <c r="A16" s="7">
        <v>42370</v>
      </c>
      <c r="B16" s="3">
        <f t="shared" ca="1" si="0"/>
        <v>56.707347831711374</v>
      </c>
      <c r="C16" s="3">
        <f t="shared" ca="1" si="1"/>
        <v>1077.9878759118155</v>
      </c>
      <c r="D16" s="3">
        <f t="shared" ca="1" si="2"/>
        <v>2.6146820295531565</v>
      </c>
      <c r="E16" s="3">
        <f t="shared" ca="1" si="3"/>
        <v>3.0273826476449468</v>
      </c>
      <c r="F16" s="3">
        <f t="shared" ca="1" si="4"/>
        <v>2.9855141484618408</v>
      </c>
      <c r="G16" s="3">
        <f t="shared" ca="1" si="5"/>
        <v>29.888088081106943</v>
      </c>
      <c r="H16" s="4">
        <f t="shared" ca="1" si="6"/>
        <v>820.78207541380004</v>
      </c>
      <c r="I16" s="2"/>
    </row>
    <row r="17" spans="1:9" x14ac:dyDescent="0.25">
      <c r="A17" s="7">
        <v>42401</v>
      </c>
      <c r="B17" s="3">
        <f t="shared" ca="1" si="0"/>
        <v>55.786696443038878</v>
      </c>
      <c r="C17" s="3">
        <f t="shared" ca="1" si="1"/>
        <v>1078.008444966631</v>
      </c>
      <c r="D17" s="3">
        <f t="shared" ca="1" si="2"/>
        <v>1.9905738429681181</v>
      </c>
      <c r="E17" s="3">
        <f t="shared" ca="1" si="3"/>
        <v>3.3416988261314771</v>
      </c>
      <c r="F17" s="3">
        <f t="shared" ca="1" si="4"/>
        <v>2.1062770678511855</v>
      </c>
      <c r="G17" s="3">
        <f t="shared" ca="1" si="5"/>
        <v>30.24450858792332</v>
      </c>
      <c r="H17" s="4">
        <f t="shared" ca="1" si="6"/>
        <v>912.78964141370125</v>
      </c>
      <c r="I17" s="2"/>
    </row>
    <row r="18" spans="1:9" x14ac:dyDescent="0.25">
      <c r="A18" s="7">
        <v>42430</v>
      </c>
      <c r="B18" s="5">
        <v>56.1</v>
      </c>
      <c r="C18" s="3">
        <f t="shared" ca="1" si="1"/>
        <v>1078.013393640615</v>
      </c>
      <c r="D18" s="5">
        <v>1.4</v>
      </c>
      <c r="E18" s="3">
        <f t="shared" ca="1" si="3"/>
        <v>3.7562353364029253</v>
      </c>
      <c r="F18" s="5">
        <v>1.4</v>
      </c>
      <c r="G18" s="3">
        <f t="shared" ca="1" si="5"/>
        <v>29.905828495850518</v>
      </c>
      <c r="H18" s="4">
        <f t="shared" ca="1" si="6"/>
        <v>896.12750579259807</v>
      </c>
      <c r="I18" s="2" t="s">
        <v>19</v>
      </c>
    </row>
    <row r="19" spans="1:9" x14ac:dyDescent="0.25">
      <c r="A19" s="7">
        <v>42461</v>
      </c>
      <c r="B19" s="3">
        <f t="shared" ca="1" si="0"/>
        <v>56.359951452312906</v>
      </c>
      <c r="C19" s="3">
        <f t="shared" ca="1" si="1"/>
        <v>1078.0014609609836</v>
      </c>
      <c r="D19" s="3">
        <f t="shared" ca="1" si="2"/>
        <v>2.4774418276407584</v>
      </c>
      <c r="E19" s="3">
        <f t="shared" ca="1" si="3"/>
        <v>3.2525425713686666</v>
      </c>
      <c r="F19" s="3">
        <f t="shared" ca="1" si="4"/>
        <v>2.3334521454964592</v>
      </c>
      <c r="G19" s="3">
        <f t="shared" ca="1" si="5"/>
        <v>30.030504464026006</v>
      </c>
      <c r="H19" s="4">
        <f t="shared" ca="1" si="6"/>
        <v>985.35526230502296</v>
      </c>
      <c r="I19" s="2"/>
    </row>
    <row r="20" spans="1:9" x14ac:dyDescent="0.25">
      <c r="A20" s="7">
        <v>42491</v>
      </c>
      <c r="B20" s="3">
        <f t="shared" ca="1" si="0"/>
        <v>56.914390713058729</v>
      </c>
      <c r="C20" s="3">
        <f t="shared" ca="1" si="1"/>
        <v>1077.9834219316913</v>
      </c>
      <c r="D20" s="3">
        <f t="shared" ca="1" si="2"/>
        <v>2.3861259854006858</v>
      </c>
      <c r="E20" s="3">
        <f t="shared" ca="1" si="3"/>
        <v>3.0041696600489449</v>
      </c>
      <c r="F20" s="3">
        <f t="shared" ca="1" si="4"/>
        <v>2.3986381419287026</v>
      </c>
      <c r="G20" s="3">
        <f t="shared" ca="1" si="5"/>
        <v>29.87454794314981</v>
      </c>
      <c r="H20" s="4">
        <f t="shared" ca="1" si="6"/>
        <v>815.6109407326893</v>
      </c>
      <c r="I20" s="2"/>
    </row>
    <row r="21" spans="1:9" x14ac:dyDescent="0.25">
      <c r="A21" s="7">
        <v>42522</v>
      </c>
      <c r="B21" s="3">
        <f t="shared" ca="1" si="0"/>
        <v>55.100106794729967</v>
      </c>
      <c r="C21" s="3">
        <f t="shared" ca="1" si="1"/>
        <v>1078.0192929890704</v>
      </c>
      <c r="D21" s="3">
        <f t="shared" ca="1" si="2"/>
        <v>1.6432131445512874</v>
      </c>
      <c r="E21" s="3">
        <f t="shared" ca="1" si="3"/>
        <v>3.1609393705277564</v>
      </c>
      <c r="F21" s="3">
        <f t="shared" ca="1" si="4"/>
        <v>2.3586128986420061</v>
      </c>
      <c r="G21" s="3">
        <f t="shared" ca="1" si="5"/>
        <v>30.155881373433822</v>
      </c>
      <c r="H21" s="4">
        <f t="shared" ca="1" si="6"/>
        <v>902.9901390005017</v>
      </c>
      <c r="I21" s="2"/>
    </row>
    <row r="22" spans="1:9" x14ac:dyDescent="0.25">
      <c r="A22" s="7">
        <v>42552</v>
      </c>
      <c r="B22" s="3">
        <f t="shared" ca="1" si="0"/>
        <v>56.497033564243971</v>
      </c>
      <c r="C22" s="3">
        <f t="shared" ca="1" si="1"/>
        <v>1077.9854911366042</v>
      </c>
      <c r="D22" s="3">
        <f t="shared" ca="1" si="2"/>
        <v>1.671177038903173</v>
      </c>
      <c r="E22" s="3">
        <f t="shared" ca="1" si="3"/>
        <v>3.9352300731943406</v>
      </c>
      <c r="F22" s="3">
        <f t="shared" ca="1" si="4"/>
        <v>2.0243403824201511</v>
      </c>
      <c r="G22" s="3">
        <f t="shared" ca="1" si="5"/>
        <v>30.175262848947042</v>
      </c>
      <c r="H22" s="4">
        <f t="shared" ca="1" si="6"/>
        <v>981.08934720966477</v>
      </c>
      <c r="I22" s="2"/>
    </row>
    <row r="23" spans="1:9" x14ac:dyDescent="0.25">
      <c r="A23" s="7">
        <v>42583</v>
      </c>
      <c r="B23" s="3">
        <f t="shared" ca="1" si="0"/>
        <v>55.597851074446098</v>
      </c>
      <c r="C23" s="3">
        <f t="shared" ca="1" si="1"/>
        <v>1078.0154543030951</v>
      </c>
      <c r="D23" s="3">
        <f t="shared" ca="1" si="2"/>
        <v>2.4572378262309691</v>
      </c>
      <c r="E23" s="3">
        <f t="shared" ca="1" si="3"/>
        <v>3.2445624555718613</v>
      </c>
      <c r="F23" s="3">
        <f t="shared" ca="1" si="4"/>
        <v>2.9961147006813604</v>
      </c>
      <c r="G23" s="3">
        <f t="shared" ca="1" si="5"/>
        <v>29.839872296549117</v>
      </c>
      <c r="H23" s="4">
        <f t="shared" ca="1" si="6"/>
        <v>941.16987676557733</v>
      </c>
      <c r="I23" s="2"/>
    </row>
    <row r="24" spans="1:9" x14ac:dyDescent="0.25">
      <c r="A24" s="7">
        <v>42614</v>
      </c>
      <c r="B24" s="3">
        <f t="shared" ca="1" si="0"/>
        <v>56.188241273726412</v>
      </c>
      <c r="C24" s="3">
        <f t="shared" ca="1" si="1"/>
        <v>1078.0148258698914</v>
      </c>
      <c r="D24" s="3">
        <f t="shared" ca="1" si="2"/>
        <v>2.2893176602678849</v>
      </c>
      <c r="E24" s="3">
        <f t="shared" ca="1" si="3"/>
        <v>3.0540279896271643</v>
      </c>
      <c r="F24" s="3">
        <f t="shared" ca="1" si="4"/>
        <v>2.7878188816964515</v>
      </c>
      <c r="G24" s="3">
        <f t="shared" ca="1" si="5"/>
        <v>29.75065338611298</v>
      </c>
      <c r="H24" s="4">
        <f t="shared" ca="1" si="6"/>
        <v>866.51190985861899</v>
      </c>
      <c r="I24" s="2"/>
    </row>
    <row r="25" spans="1:9" x14ac:dyDescent="0.25">
      <c r="A25" s="7">
        <v>42644</v>
      </c>
      <c r="B25" s="3">
        <f t="shared" ca="1" si="0"/>
        <v>56.509602049022803</v>
      </c>
      <c r="C25" s="3">
        <f t="shared" ca="1" si="1"/>
        <v>1078.0176779580036</v>
      </c>
      <c r="D25" s="3">
        <f t="shared" ca="1" si="2"/>
        <v>1.7208322629257917</v>
      </c>
      <c r="E25" s="3">
        <f t="shared" ca="1" si="3"/>
        <v>3.3507545728675887</v>
      </c>
      <c r="F25" s="3">
        <f t="shared" ca="1" si="4"/>
        <v>3.2724087789942216</v>
      </c>
      <c r="G25" s="3">
        <f t="shared" ca="1" si="5"/>
        <v>30.204478686157298</v>
      </c>
      <c r="H25" s="4">
        <f t="shared" ca="1" si="6"/>
        <v>893.68560746931155</v>
      </c>
      <c r="I25" s="2"/>
    </row>
    <row r="26" spans="1:9" x14ac:dyDescent="0.25">
      <c r="A26" s="7">
        <v>42675</v>
      </c>
      <c r="B26" s="3">
        <f t="shared" ca="1" si="0"/>
        <v>55.391445159614769</v>
      </c>
      <c r="C26" s="3">
        <f t="shared" ca="1" si="1"/>
        <v>1077.9979387618487</v>
      </c>
      <c r="D26" s="3">
        <f t="shared" ca="1" si="2"/>
        <v>1.581341009442198</v>
      </c>
      <c r="E26" s="3">
        <f t="shared" ca="1" si="3"/>
        <v>3.577356948406651</v>
      </c>
      <c r="F26" s="3">
        <f t="shared" ca="1" si="4"/>
        <v>2.0432891426702073</v>
      </c>
      <c r="G26" s="3">
        <f t="shared" ca="1" si="5"/>
        <v>29.9745984304475</v>
      </c>
      <c r="H26" s="4">
        <f t="shared" ca="1" si="6"/>
        <v>898.98903939055458</v>
      </c>
      <c r="I26" s="2"/>
    </row>
    <row r="27" spans="1:9" x14ac:dyDescent="0.25">
      <c r="A27" s="7">
        <v>42705</v>
      </c>
      <c r="B27" s="3">
        <f t="shared" ca="1" si="0"/>
        <v>56.82011939050021</v>
      </c>
      <c r="C27" s="3">
        <f t="shared" ca="1" si="1"/>
        <v>1077.9842838178204</v>
      </c>
      <c r="D27" s="3">
        <f t="shared" ca="1" si="2"/>
        <v>2.1175117980652196</v>
      </c>
      <c r="E27" s="3">
        <f t="shared" ca="1" si="3"/>
        <v>3.214797475784104</v>
      </c>
      <c r="F27" s="3">
        <f t="shared" ca="1" si="4"/>
        <v>2.1279330008960908</v>
      </c>
      <c r="G27" s="3">
        <f t="shared" ca="1" si="5"/>
        <v>29.856253573887429</v>
      </c>
      <c r="H27" s="4">
        <f t="shared" ca="1" si="6"/>
        <v>908.89827409287022</v>
      </c>
      <c r="I27" s="2"/>
    </row>
    <row r="28" spans="1:9" x14ac:dyDescent="0.25">
      <c r="A28" s="7">
        <v>42736</v>
      </c>
      <c r="B28" s="3">
        <f t="shared" ca="1" si="0"/>
        <v>55.247905099404463</v>
      </c>
      <c r="C28" s="3">
        <f t="shared" ca="1" si="1"/>
        <v>1078.0191960121563</v>
      </c>
      <c r="D28" s="3">
        <f t="shared" ca="1" si="2"/>
        <v>2.1382224544075941</v>
      </c>
      <c r="E28" s="3">
        <f t="shared" ca="1" si="3"/>
        <v>3.4554937636660958</v>
      </c>
      <c r="F28" s="3">
        <f t="shared" ca="1" si="4"/>
        <v>3.1494326239995241</v>
      </c>
      <c r="G28" s="3">
        <f t="shared" ca="1" si="5"/>
        <v>29.901308866534777</v>
      </c>
      <c r="H28" s="4">
        <f t="shared" ca="1" si="6"/>
        <v>801.17233255168185</v>
      </c>
      <c r="I28" s="2"/>
    </row>
    <row r="29" spans="1:9" x14ac:dyDescent="0.25">
      <c r="A29" s="7">
        <v>42767</v>
      </c>
      <c r="B29" s="3">
        <f t="shared" ca="1" si="0"/>
        <v>55.404612018056383</v>
      </c>
      <c r="C29" s="3">
        <f t="shared" ca="1" si="1"/>
        <v>1077.9948128197559</v>
      </c>
      <c r="D29" s="3">
        <f t="shared" ca="1" si="2"/>
        <v>2.197078596982093</v>
      </c>
      <c r="E29" s="3">
        <f t="shared" ca="1" si="3"/>
        <v>3.8616422118078999</v>
      </c>
      <c r="F29" s="3">
        <f t="shared" ca="1" si="4"/>
        <v>1.9231377261076594</v>
      </c>
      <c r="G29" s="3">
        <f t="shared" ca="1" si="5"/>
        <v>29.93987023520344</v>
      </c>
      <c r="H29" s="4">
        <f t="shared" ca="1" si="6"/>
        <v>804.12068896667597</v>
      </c>
      <c r="I29" s="2"/>
    </row>
    <row r="30" spans="1:9" x14ac:dyDescent="0.25">
      <c r="A30" s="7">
        <v>42795</v>
      </c>
      <c r="B30" s="3">
        <f t="shared" ca="1" si="0"/>
        <v>56.092852387915791</v>
      </c>
      <c r="C30" s="3">
        <f t="shared" ca="1" si="1"/>
        <v>1078.0153528521616</v>
      </c>
      <c r="D30" s="3">
        <f t="shared" ca="1" si="2"/>
        <v>1.6803970590334052</v>
      </c>
      <c r="E30" s="3">
        <f t="shared" ca="1" si="3"/>
        <v>3.2640271021836966</v>
      </c>
      <c r="F30" s="3">
        <f t="shared" ca="1" si="4"/>
        <v>3.0875986577321415</v>
      </c>
      <c r="G30" s="3">
        <f t="shared" ca="1" si="5"/>
        <v>30.094286426803961</v>
      </c>
      <c r="H30" s="4">
        <f t="shared" ca="1" si="6"/>
        <v>879.29884644552283</v>
      </c>
      <c r="I30" s="2"/>
    </row>
    <row r="31" spans="1:9" x14ac:dyDescent="0.25">
      <c r="A31" s="7">
        <v>42826</v>
      </c>
      <c r="B31" s="3">
        <f t="shared" ca="1" si="0"/>
        <v>55.380758886220882</v>
      </c>
      <c r="C31" s="3">
        <f t="shared" ca="1" si="1"/>
        <v>1077.9909353347177</v>
      </c>
      <c r="D31" s="3">
        <f t="shared" ca="1" si="2"/>
        <v>2.9865180517553789</v>
      </c>
      <c r="E31" s="3">
        <f t="shared" ca="1" si="3"/>
        <v>3.2262771353231119</v>
      </c>
      <c r="F31" s="3">
        <f t="shared" ca="1" si="4"/>
        <v>1.5826831921791193</v>
      </c>
      <c r="G31" s="3">
        <f t="shared" ca="1" si="5"/>
        <v>30.038573806683836</v>
      </c>
      <c r="H31" s="4">
        <f t="shared" ca="1" si="6"/>
        <v>910.21303309229904</v>
      </c>
      <c r="I31" s="2"/>
    </row>
    <row r="32" spans="1:9" x14ac:dyDescent="0.25">
      <c r="A32" s="7">
        <v>42856</v>
      </c>
      <c r="B32" s="3">
        <f t="shared" ca="1" si="0"/>
        <v>56.259709121280054</v>
      </c>
      <c r="C32" s="3">
        <f t="shared" ca="1" si="1"/>
        <v>1077.9971962894138</v>
      </c>
      <c r="D32" s="3">
        <f t="shared" ca="1" si="2"/>
        <v>1.9007111964141221</v>
      </c>
      <c r="E32" s="3">
        <f t="shared" ca="1" si="3"/>
        <v>3.6359447859047775</v>
      </c>
      <c r="F32" s="3">
        <f t="shared" ca="1" si="4"/>
        <v>3.1281552717378585</v>
      </c>
      <c r="G32" s="3">
        <f t="shared" ca="1" si="5"/>
        <v>30.078024452033066</v>
      </c>
      <c r="H32" s="4">
        <f t="shared" ca="1" si="6"/>
        <v>946.24566766826752</v>
      </c>
      <c r="I32" s="2"/>
    </row>
    <row r="33" spans="1:9" x14ac:dyDescent="0.25">
      <c r="A33" s="7">
        <v>42887</v>
      </c>
      <c r="B33" s="3">
        <f t="shared" ca="1" si="0"/>
        <v>56.658159594638988</v>
      </c>
      <c r="C33" s="3">
        <f t="shared" ca="1" si="1"/>
        <v>1078.0076886722256</v>
      </c>
      <c r="D33" s="3">
        <f t="shared" ca="1" si="2"/>
        <v>1.8992125650771716</v>
      </c>
      <c r="E33" s="3">
        <f t="shared" ca="1" si="3"/>
        <v>3.2321120914181609</v>
      </c>
      <c r="F33" s="3">
        <f t="shared" ca="1" si="4"/>
        <v>2.0157284545860632</v>
      </c>
      <c r="G33" s="3">
        <f t="shared" ca="1" si="5"/>
        <v>29.809722157409766</v>
      </c>
      <c r="H33" s="4">
        <f t="shared" ca="1" si="6"/>
        <v>855.08726755758835</v>
      </c>
      <c r="I33" s="2"/>
    </row>
    <row r="34" spans="1:9" x14ac:dyDescent="0.25">
      <c r="A34" s="7">
        <v>42917</v>
      </c>
      <c r="B34" s="3">
        <f t="shared" ca="1" si="0"/>
        <v>55.587694403300489</v>
      </c>
      <c r="C34" s="3">
        <f t="shared" ca="1" si="1"/>
        <v>1078.0095928615469</v>
      </c>
      <c r="D34" s="3">
        <f t="shared" ca="1" si="2"/>
        <v>1.8251166019498068</v>
      </c>
      <c r="E34" s="3">
        <f t="shared" ca="1" si="3"/>
        <v>3.1419594640629995</v>
      </c>
      <c r="F34" s="3">
        <f t="shared" ca="1" si="4"/>
        <v>2.0086060701724113</v>
      </c>
      <c r="G34" s="3">
        <f t="shared" ca="1" si="5"/>
        <v>29.816159311470333</v>
      </c>
      <c r="H34" s="4">
        <f t="shared" ca="1" si="6"/>
        <v>947.62615914631272</v>
      </c>
      <c r="I34" s="2"/>
    </row>
    <row r="35" spans="1:9" x14ac:dyDescent="0.25">
      <c r="A35" s="7">
        <v>42948</v>
      </c>
      <c r="B35" s="3">
        <f t="shared" ca="1" si="0"/>
        <v>55.131305792545206</v>
      </c>
      <c r="C35" s="3">
        <f t="shared" ca="1" si="1"/>
        <v>1078.0044496817402</v>
      </c>
      <c r="D35" s="3">
        <f t="shared" ca="1" si="2"/>
        <v>2.4118468718280073</v>
      </c>
      <c r="E35" s="3">
        <f t="shared" ca="1" si="3"/>
        <v>3.7198811426715195</v>
      </c>
      <c r="F35" s="3">
        <f t="shared" ca="1" si="4"/>
        <v>2.1574428656247919</v>
      </c>
      <c r="G35" s="3">
        <f t="shared" ca="1" si="5"/>
        <v>30.199300645853437</v>
      </c>
      <c r="H35" s="4">
        <f t="shared" ca="1" si="6"/>
        <v>996.50271404078921</v>
      </c>
      <c r="I35" s="2"/>
    </row>
    <row r="36" spans="1:9" x14ac:dyDescent="0.25">
      <c r="A36" s="7">
        <v>42979</v>
      </c>
      <c r="B36" s="3">
        <f t="shared" ca="1" si="0"/>
        <v>55.323876692310549</v>
      </c>
      <c r="C36" s="3">
        <f t="shared" ca="1" si="1"/>
        <v>1077.9848916662143</v>
      </c>
      <c r="D36" s="3">
        <f t="shared" ca="1" si="2"/>
        <v>1.7657145874341835</v>
      </c>
      <c r="E36" s="3">
        <f t="shared" ca="1" si="3"/>
        <v>3.0257072263046512</v>
      </c>
      <c r="F36" s="3">
        <f t="shared" ca="1" si="4"/>
        <v>1.9288894000040611</v>
      </c>
      <c r="G36" s="3">
        <f t="shared" ca="1" si="5"/>
        <v>30.229202532189351</v>
      </c>
      <c r="H36" s="4">
        <f t="shared" ca="1" si="6"/>
        <v>854.43137877655749</v>
      </c>
      <c r="I36" s="2"/>
    </row>
    <row r="37" spans="1:9" x14ac:dyDescent="0.25">
      <c r="A37" s="7">
        <v>43009</v>
      </c>
      <c r="B37" s="3">
        <f t="shared" ca="1" si="0"/>
        <v>56.142596509075027</v>
      </c>
      <c r="C37" s="3">
        <f t="shared" ca="1" si="1"/>
        <v>1078.0179339657391</v>
      </c>
      <c r="D37" s="3">
        <f t="shared" ca="1" si="2"/>
        <v>2.8313924876525718</v>
      </c>
      <c r="E37" s="3">
        <f t="shared" ca="1" si="3"/>
        <v>3.2819498314325042</v>
      </c>
      <c r="F37" s="3">
        <f t="shared" ca="1" si="4"/>
        <v>3.0128357534822907</v>
      </c>
      <c r="G37" s="3">
        <f t="shared" ca="1" si="5"/>
        <v>29.845061205046594</v>
      </c>
      <c r="H37" s="4">
        <f t="shared" ca="1" si="6"/>
        <v>977.06482529905838</v>
      </c>
      <c r="I37" s="2"/>
    </row>
    <row r="38" spans="1:9" x14ac:dyDescent="0.25">
      <c r="A38" s="7">
        <v>43040</v>
      </c>
      <c r="B38" s="3">
        <f t="shared" ca="1" si="0"/>
        <v>55.201257977572581</v>
      </c>
      <c r="C38" s="3">
        <f t="shared" ca="1" si="1"/>
        <v>1078.0175724151293</v>
      </c>
      <c r="D38" s="3">
        <f t="shared" ca="1" si="2"/>
        <v>1.7652419079744277</v>
      </c>
      <c r="E38" s="3">
        <f t="shared" ca="1" si="3"/>
        <v>3.5146679020194362</v>
      </c>
      <c r="F38" s="3">
        <f t="shared" ca="1" si="4"/>
        <v>2.4875416084084483</v>
      </c>
      <c r="G38" s="3">
        <f t="shared" ca="1" si="5"/>
        <v>29.791861731843426</v>
      </c>
      <c r="H38" s="4">
        <f t="shared" ca="1" si="6"/>
        <v>990.50197808568998</v>
      </c>
      <c r="I38" s="2"/>
    </row>
    <row r="39" spans="1:9" x14ac:dyDescent="0.25">
      <c r="A39" s="7">
        <v>43070</v>
      </c>
      <c r="B39" s="3">
        <f t="shared" ca="1" si="0"/>
        <v>56.921020842943406</v>
      </c>
      <c r="C39" s="3">
        <f t="shared" ca="1" si="1"/>
        <v>1078.0171947779379</v>
      </c>
      <c r="D39" s="3">
        <f t="shared" ca="1" si="2"/>
        <v>1.968949911235284</v>
      </c>
      <c r="E39" s="3">
        <f t="shared" ca="1" si="3"/>
        <v>3.3939226761159493</v>
      </c>
      <c r="F39" s="3">
        <f t="shared" ca="1" si="4"/>
        <v>2.5134934894539636</v>
      </c>
      <c r="G39" s="3">
        <f t="shared" ca="1" si="5"/>
        <v>29.99136097770517</v>
      </c>
      <c r="H39" s="4">
        <f t="shared" ca="1" si="6"/>
        <v>847.19424061852885</v>
      </c>
      <c r="I39" s="2"/>
    </row>
    <row r="40" spans="1:9" x14ac:dyDescent="0.25">
      <c r="A40" s="7">
        <v>43101</v>
      </c>
      <c r="B40" s="3">
        <f t="shared" ca="1" si="0"/>
        <v>56.696274182060769</v>
      </c>
      <c r="C40" s="3">
        <f t="shared" ca="1" si="1"/>
        <v>1078.0159824368154</v>
      </c>
      <c r="D40" s="3">
        <f t="shared" ca="1" si="2"/>
        <v>2.6203805329311143</v>
      </c>
      <c r="E40" s="3">
        <f t="shared" ca="1" si="3"/>
        <v>3.2479038571318917</v>
      </c>
      <c r="F40" s="3">
        <f t="shared" ca="1" si="4"/>
        <v>1.8527498523034858</v>
      </c>
      <c r="G40" s="3">
        <f t="shared" ca="1" si="5"/>
        <v>30.009854576014565</v>
      </c>
      <c r="H40" s="4">
        <f t="shared" ca="1" si="6"/>
        <v>843.54258439373143</v>
      </c>
      <c r="I40" s="2"/>
    </row>
    <row r="41" spans="1:9" x14ac:dyDescent="0.25">
      <c r="A41" s="7">
        <v>43132</v>
      </c>
      <c r="B41" s="3">
        <f t="shared" ca="1" si="0"/>
        <v>55.033932210100851</v>
      </c>
      <c r="C41" s="3">
        <f t="shared" ca="1" si="1"/>
        <v>1078.0002489664773</v>
      </c>
      <c r="D41" s="3">
        <f t="shared" ca="1" si="2"/>
        <v>1.5287380088689613</v>
      </c>
      <c r="E41" s="3">
        <f t="shared" ca="1" si="3"/>
        <v>3.2453156306184208</v>
      </c>
      <c r="F41" s="3">
        <f t="shared" ca="1" si="4"/>
        <v>2.3583287995120115</v>
      </c>
      <c r="G41" s="3">
        <f t="shared" ca="1" si="5"/>
        <v>29.961756988348085</v>
      </c>
      <c r="H41" s="4">
        <f t="shared" ca="1" si="6"/>
        <v>946.03277463548193</v>
      </c>
      <c r="I41" s="2"/>
    </row>
    <row r="42" spans="1:9" x14ac:dyDescent="0.25">
      <c r="A42" s="7">
        <v>43160</v>
      </c>
      <c r="B42" s="3">
        <f t="shared" ca="1" si="0"/>
        <v>56.642191177730297</v>
      </c>
      <c r="C42" s="3">
        <f t="shared" ca="1" si="1"/>
        <v>1077.9914962592211</v>
      </c>
      <c r="D42" s="3">
        <f t="shared" ca="1" si="2"/>
        <v>2.0449153478305115</v>
      </c>
      <c r="E42" s="3">
        <f t="shared" ca="1" si="3"/>
        <v>3.6172194857287421</v>
      </c>
      <c r="F42" s="3">
        <f t="shared" ca="1" si="4"/>
        <v>2.8822193599803372</v>
      </c>
      <c r="G42" s="3">
        <f t="shared" ca="1" si="5"/>
        <v>29.993228910106733</v>
      </c>
      <c r="H42" s="4">
        <f t="shared" ca="1" si="6"/>
        <v>962.85419022413294</v>
      </c>
      <c r="I42" s="2"/>
    </row>
    <row r="43" spans="1:9" x14ac:dyDescent="0.25">
      <c r="A43" s="7">
        <v>43191</v>
      </c>
      <c r="B43" s="3">
        <f t="shared" ca="1" si="0"/>
        <v>56.687291053852391</v>
      </c>
      <c r="C43" s="3">
        <f t="shared" ca="1" si="1"/>
        <v>1077.9968692475534</v>
      </c>
      <c r="D43" s="3">
        <f t="shared" ca="1" si="2"/>
        <v>2.7682128340745793</v>
      </c>
      <c r="E43" s="3">
        <f t="shared" ca="1" si="3"/>
        <v>3.3122787629557289</v>
      </c>
      <c r="F43" s="3">
        <f t="shared" ca="1" si="4"/>
        <v>1.783740882412556</v>
      </c>
      <c r="G43" s="3">
        <f t="shared" ca="1" si="5"/>
        <v>29.758666552561284</v>
      </c>
      <c r="H43" s="4">
        <f t="shared" ca="1" si="6"/>
        <v>951.87770907277047</v>
      </c>
      <c r="I43" s="2"/>
    </row>
    <row r="44" spans="1:9" x14ac:dyDescent="0.25">
      <c r="A44" s="7">
        <v>43221</v>
      </c>
      <c r="B44" s="3">
        <f t="shared" ca="1" si="0"/>
        <v>56.120236385645683</v>
      </c>
      <c r="C44" s="3">
        <f t="shared" ca="1" si="1"/>
        <v>1078.0065288830324</v>
      </c>
      <c r="D44" s="3">
        <f t="shared" ca="1" si="2"/>
        <v>2.4312937066518323</v>
      </c>
      <c r="E44" s="3">
        <f t="shared" ca="1" si="3"/>
        <v>3.9297939562974671</v>
      </c>
      <c r="F44" s="3">
        <f t="shared" ca="1" si="4"/>
        <v>2.526989586126299</v>
      </c>
      <c r="G44" s="3">
        <f t="shared" ca="1" si="5"/>
        <v>29.799504738685528</v>
      </c>
      <c r="H44" s="4">
        <f t="shared" ca="1" si="6"/>
        <v>833.28559265716046</v>
      </c>
      <c r="I44" s="2"/>
    </row>
    <row r="45" spans="1:9" x14ac:dyDescent="0.25">
      <c r="A45" s="7">
        <v>43252</v>
      </c>
      <c r="B45" s="3">
        <f t="shared" ca="1" si="0"/>
        <v>56.274606962844715</v>
      </c>
      <c r="C45" s="3">
        <f t="shared" ca="1" si="1"/>
        <v>1078.0161259696486</v>
      </c>
      <c r="D45" s="3">
        <f t="shared" ca="1" si="2"/>
        <v>1.6134430121216339</v>
      </c>
      <c r="E45" s="3">
        <f t="shared" ca="1" si="3"/>
        <v>3.2505711522697016</v>
      </c>
      <c r="F45" s="3">
        <f t="shared" ca="1" si="4"/>
        <v>2.5888310403113461</v>
      </c>
      <c r="G45" s="3">
        <f t="shared" ca="1" si="5"/>
        <v>29.825414802443966</v>
      </c>
      <c r="H45" s="4">
        <f t="shared" ca="1" si="6"/>
        <v>813.73904251717329</v>
      </c>
      <c r="I45" s="2"/>
    </row>
    <row r="46" spans="1:9" x14ac:dyDescent="0.25">
      <c r="A46" s="7">
        <v>43282</v>
      </c>
      <c r="B46" s="3">
        <f t="shared" ca="1" si="0"/>
        <v>56.447697656156258</v>
      </c>
      <c r="C46" s="3">
        <f t="shared" ca="1" si="1"/>
        <v>1077.9858539436623</v>
      </c>
      <c r="D46" s="3">
        <f t="shared" ca="1" si="2"/>
        <v>1.8061184292793064</v>
      </c>
      <c r="E46" s="3">
        <f t="shared" ca="1" si="3"/>
        <v>3.4576567491441668</v>
      </c>
      <c r="F46" s="3">
        <f t="shared" ca="1" si="4"/>
        <v>2.0693504704402805</v>
      </c>
      <c r="G46" s="3">
        <f t="shared" ca="1" si="5"/>
        <v>29.789729337903683</v>
      </c>
      <c r="H46" s="4">
        <f t="shared" ca="1" si="6"/>
        <v>976.01042620651026</v>
      </c>
      <c r="I46" s="2"/>
    </row>
    <row r="47" spans="1:9" x14ac:dyDescent="0.25">
      <c r="A47" s="7">
        <v>43313</v>
      </c>
      <c r="B47" s="3">
        <f t="shared" ca="1" si="0"/>
        <v>55.442742272227662</v>
      </c>
      <c r="C47" s="3">
        <f t="shared" ca="1" si="1"/>
        <v>1078.0135449726386</v>
      </c>
      <c r="D47" s="3">
        <f t="shared" ca="1" si="2"/>
        <v>2.1763003510464363</v>
      </c>
      <c r="E47" s="3">
        <f t="shared" ca="1" si="3"/>
        <v>3.4415070855222467</v>
      </c>
      <c r="F47" s="3">
        <f t="shared" ca="1" si="4"/>
        <v>3.2554190391104987</v>
      </c>
      <c r="G47" s="3">
        <f t="shared" ca="1" si="5"/>
        <v>30.150529879371245</v>
      </c>
      <c r="H47" s="4">
        <f t="shared" ca="1" si="6"/>
        <v>988.13579165851127</v>
      </c>
      <c r="I47" s="2"/>
    </row>
    <row r="48" spans="1:9" x14ac:dyDescent="0.25">
      <c r="A48" s="7">
        <v>43344</v>
      </c>
      <c r="B48" s="3">
        <f t="shared" ca="1" si="0"/>
        <v>56.226350138893835</v>
      </c>
      <c r="C48" s="3">
        <f t="shared" ca="1" si="1"/>
        <v>1077.9956232850836</v>
      </c>
      <c r="D48" s="3">
        <f t="shared" ca="1" si="2"/>
        <v>1.8739531092174588</v>
      </c>
      <c r="E48" s="3">
        <f t="shared" ca="1" si="3"/>
        <v>3.841621300618566</v>
      </c>
      <c r="F48" s="3">
        <f t="shared" ca="1" si="4"/>
        <v>2.0603854607421912</v>
      </c>
      <c r="G48" s="3">
        <f t="shared" ca="1" si="5"/>
        <v>30.056104083004659</v>
      </c>
      <c r="H48" s="4">
        <f t="shared" ca="1" si="6"/>
        <v>884.43513587241625</v>
      </c>
      <c r="I48" s="2"/>
    </row>
    <row r="49" spans="1:9" x14ac:dyDescent="0.25">
      <c r="A49" s="7">
        <v>43374</v>
      </c>
      <c r="B49" s="3">
        <f t="shared" ca="1" si="0"/>
        <v>55.659827961388729</v>
      </c>
      <c r="C49" s="3">
        <f t="shared" ca="1" si="1"/>
        <v>1078.0158156803891</v>
      </c>
      <c r="D49" s="3">
        <f t="shared" ca="1" si="2"/>
        <v>2.1770395647988532</v>
      </c>
      <c r="E49" s="3">
        <f t="shared" ca="1" si="3"/>
        <v>3.9792719289217273</v>
      </c>
      <c r="F49" s="3">
        <f t="shared" ca="1" si="4"/>
        <v>3.3019570449539106</v>
      </c>
      <c r="G49" s="3">
        <f t="shared" ca="1" si="5"/>
        <v>29.898324662597972</v>
      </c>
      <c r="H49" s="4">
        <f t="shared" ca="1" si="6"/>
        <v>957.18102504721139</v>
      </c>
      <c r="I49" s="2"/>
    </row>
    <row r="50" spans="1:9" x14ac:dyDescent="0.25">
      <c r="A50" s="7">
        <v>43405</v>
      </c>
      <c r="B50" s="5">
        <v>54.7</v>
      </c>
      <c r="C50" s="3">
        <f t="shared" ca="1" si="1"/>
        <v>1077.980560303158</v>
      </c>
      <c r="D50" s="3">
        <v>2.6</v>
      </c>
      <c r="E50" s="5">
        <v>4.12</v>
      </c>
      <c r="F50" s="5">
        <f t="shared" ca="1" si="4"/>
        <v>2.1031824501639491</v>
      </c>
      <c r="G50" s="5">
        <v>30.33</v>
      </c>
      <c r="H50" s="4">
        <f t="shared" ca="1" si="6"/>
        <v>845.24335685142137</v>
      </c>
      <c r="I50" s="2" t="s">
        <v>20</v>
      </c>
    </row>
    <row r="51" spans="1:9" x14ac:dyDescent="0.25">
      <c r="A51" s="7">
        <v>43435</v>
      </c>
      <c r="B51" s="3">
        <f t="shared" ca="1" si="0"/>
        <v>55.432481649295163</v>
      </c>
      <c r="C51" s="3">
        <f t="shared" ca="1" si="1"/>
        <v>1078.0112284177469</v>
      </c>
      <c r="D51" s="3">
        <f t="shared" ca="1" si="2"/>
        <v>1.9858610625493149</v>
      </c>
      <c r="E51" s="3">
        <f t="shared" ca="1" si="3"/>
        <v>3.7478426221077807</v>
      </c>
      <c r="F51" s="3">
        <f t="shared" ca="1" si="4"/>
        <v>2.5864667069081815</v>
      </c>
      <c r="G51" s="3">
        <f t="shared" ca="1" si="5"/>
        <v>29.861547357679914</v>
      </c>
      <c r="H51" s="4">
        <f t="shared" ca="1" si="6"/>
        <v>927.08183030841451</v>
      </c>
      <c r="I51" s="2"/>
    </row>
    <row r="52" spans="1:9" x14ac:dyDescent="0.25">
      <c r="A52" s="7">
        <v>43466</v>
      </c>
      <c r="B52" s="3">
        <f t="shared" ca="1" si="0"/>
        <v>56.427492349967338</v>
      </c>
      <c r="C52" s="3">
        <f t="shared" ca="1" si="1"/>
        <v>1078.0147707938306</v>
      </c>
      <c r="D52" s="3">
        <f t="shared" ca="1" si="2"/>
        <v>2.9692793651802729</v>
      </c>
      <c r="E52" s="3">
        <f t="shared" ca="1" si="3"/>
        <v>3.3799727612423789</v>
      </c>
      <c r="F52" s="3">
        <f t="shared" ca="1" si="4"/>
        <v>2.9322147628329871</v>
      </c>
      <c r="G52" s="3">
        <f t="shared" ca="1" si="5"/>
        <v>30.144916382356815</v>
      </c>
      <c r="H52" s="4">
        <f t="shared" ca="1" si="6"/>
        <v>831.58184742195283</v>
      </c>
      <c r="I52" s="2"/>
    </row>
    <row r="53" spans="1:9" x14ac:dyDescent="0.25">
      <c r="A53" s="7">
        <v>43497</v>
      </c>
      <c r="B53" s="3">
        <f t="shared" ca="1" si="0"/>
        <v>55.230715857716952</v>
      </c>
      <c r="C53" s="3">
        <f t="shared" ca="1" si="1"/>
        <v>1077.9914590244562</v>
      </c>
      <c r="D53" s="3">
        <f t="shared" ca="1" si="2"/>
        <v>2.6207097144130116</v>
      </c>
      <c r="E53" s="3">
        <f t="shared" ca="1" si="3"/>
        <v>3.7537566210644573</v>
      </c>
      <c r="F53" s="3">
        <f t="shared" ca="1" si="4"/>
        <v>1.8375026259209126</v>
      </c>
      <c r="G53" s="3">
        <f t="shared" ca="1" si="5"/>
        <v>30.119124889116108</v>
      </c>
      <c r="H53" s="4">
        <f t="shared" ca="1" si="6"/>
        <v>818.87849347925908</v>
      </c>
      <c r="I53" s="2"/>
    </row>
    <row r="54" spans="1:9" x14ac:dyDescent="0.25">
      <c r="A54" s="7">
        <v>43525</v>
      </c>
      <c r="B54" s="3">
        <f t="shared" ca="1" si="0"/>
        <v>56.072601347900957</v>
      </c>
      <c r="C54" s="3">
        <f t="shared" ca="1" si="1"/>
        <v>1078.0046893530025</v>
      </c>
      <c r="D54" s="3">
        <f t="shared" ca="1" si="2"/>
        <v>2.8858258128629992</v>
      </c>
      <c r="E54" s="3">
        <f t="shared" ca="1" si="3"/>
        <v>3.3337578215693928</v>
      </c>
      <c r="F54" s="3">
        <f t="shared" ca="1" si="4"/>
        <v>1.8355497959173992</v>
      </c>
      <c r="G54" s="3">
        <f t="shared" ca="1" si="5"/>
        <v>30.029542449229123</v>
      </c>
      <c r="H54" s="4">
        <f t="shared" ca="1" si="6"/>
        <v>991.63057793661221</v>
      </c>
      <c r="I54" s="2"/>
    </row>
    <row r="55" spans="1:9" x14ac:dyDescent="0.25">
      <c r="A55" s="7">
        <v>43556</v>
      </c>
      <c r="B55" s="3">
        <f t="shared" ca="1" si="0"/>
        <v>55.997483675837735</v>
      </c>
      <c r="C55" s="3">
        <f t="shared" ca="1" si="1"/>
        <v>1078.0010857315856</v>
      </c>
      <c r="D55" s="3">
        <f t="shared" ca="1" si="2"/>
        <v>1.611926447081407</v>
      </c>
      <c r="E55" s="3">
        <f t="shared" ca="1" si="3"/>
        <v>3.6072087667680526</v>
      </c>
      <c r="F55" s="3">
        <f t="shared" ca="1" si="4"/>
        <v>1.8305846423853323</v>
      </c>
      <c r="G55" s="3">
        <f t="shared" ca="1" si="5"/>
        <v>29.995328829692404</v>
      </c>
      <c r="H55" s="4">
        <f t="shared" ca="1" si="6"/>
        <v>969.36414289030699</v>
      </c>
      <c r="I55" s="2"/>
    </row>
    <row r="56" spans="1:9" x14ac:dyDescent="0.25">
      <c r="A56" s="7">
        <v>43586</v>
      </c>
      <c r="B56" s="3">
        <f t="shared" ca="1" si="0"/>
        <v>55.703406017209943</v>
      </c>
      <c r="C56" s="3">
        <f t="shared" ca="1" si="1"/>
        <v>1077.9828447740279</v>
      </c>
      <c r="D56" s="3">
        <f t="shared" ca="1" si="2"/>
        <v>1.7559769853868048</v>
      </c>
      <c r="E56" s="3">
        <f t="shared" ca="1" si="3"/>
        <v>3.1462252200209484</v>
      </c>
      <c r="F56" s="3">
        <f t="shared" ca="1" si="4"/>
        <v>1.9504741871232574</v>
      </c>
      <c r="G56" s="3">
        <f t="shared" ca="1" si="5"/>
        <v>29.775791321279389</v>
      </c>
      <c r="H56" s="4">
        <f t="shared" ca="1" si="6"/>
        <v>925.30315794010221</v>
      </c>
      <c r="I56" s="2"/>
    </row>
    <row r="57" spans="1:9" x14ac:dyDescent="0.25">
      <c r="A57" s="7">
        <v>43617</v>
      </c>
      <c r="B57" s="3">
        <f t="shared" ca="1" si="0"/>
        <v>55.264936052005218</v>
      </c>
      <c r="C57" s="3">
        <f t="shared" ca="1" si="1"/>
        <v>1077.9897388622949</v>
      </c>
      <c r="D57" s="3">
        <f t="shared" ca="1" si="2"/>
        <v>1.5760197530487703</v>
      </c>
      <c r="E57" s="3">
        <f t="shared" ca="1" si="3"/>
        <v>3.4810554792512081</v>
      </c>
      <c r="F57" s="3">
        <f t="shared" ca="1" si="4"/>
        <v>3.0340453440174588</v>
      </c>
      <c r="G57" s="3">
        <f t="shared" ca="1" si="5"/>
        <v>30.233545007759279</v>
      </c>
      <c r="H57" s="4">
        <f t="shared" ca="1" si="6"/>
        <v>985.65905143719249</v>
      </c>
      <c r="I57" s="2"/>
    </row>
    <row r="58" spans="1:9" x14ac:dyDescent="0.25">
      <c r="A58" s="7">
        <v>43647</v>
      </c>
      <c r="B58" s="3">
        <f t="shared" ca="1" si="0"/>
        <v>55.757996535317595</v>
      </c>
      <c r="C58" s="3">
        <f t="shared" ca="1" si="1"/>
        <v>1078.0157259374971</v>
      </c>
      <c r="D58" s="3">
        <f t="shared" ca="1" si="2"/>
        <v>2.5674529417264806</v>
      </c>
      <c r="E58" s="3">
        <f t="shared" ca="1" si="3"/>
        <v>3.1264672330609695</v>
      </c>
      <c r="F58" s="3">
        <f t="shared" ca="1" si="4"/>
        <v>2.4124779564580461</v>
      </c>
      <c r="G58" s="3">
        <f t="shared" ca="1" si="5"/>
        <v>29.77446194932466</v>
      </c>
      <c r="H58" s="4">
        <f t="shared" ca="1" si="6"/>
        <v>939.1254082214158</v>
      </c>
      <c r="I58" s="2"/>
    </row>
    <row r="59" spans="1:9" x14ac:dyDescent="0.25">
      <c r="A59" s="7">
        <v>43678</v>
      </c>
      <c r="B59" s="3">
        <f t="shared" ca="1" si="0"/>
        <v>55.759449581105144</v>
      </c>
      <c r="C59" s="3">
        <f t="shared" ca="1" si="1"/>
        <v>1077.9829998369335</v>
      </c>
      <c r="D59" s="3">
        <f t="shared" ca="1" si="2"/>
        <v>2.3891857613523939</v>
      </c>
      <c r="E59" s="3">
        <f t="shared" ca="1" si="3"/>
        <v>3.8316463322323471</v>
      </c>
      <c r="F59" s="3">
        <f t="shared" ca="1" si="4"/>
        <v>3.1833428082425907</v>
      </c>
      <c r="G59" s="3">
        <f t="shared" ca="1" si="5"/>
        <v>29.883208603642139</v>
      </c>
      <c r="H59" s="4">
        <f t="shared" ca="1" si="6"/>
        <v>900.52228250798635</v>
      </c>
      <c r="I59" s="2"/>
    </row>
    <row r="60" spans="1:9" x14ac:dyDescent="0.25">
      <c r="A60" s="7">
        <v>43709</v>
      </c>
      <c r="B60" s="3">
        <f t="shared" ca="1" si="0"/>
        <v>55.245593617565767</v>
      </c>
      <c r="C60" s="3">
        <f t="shared" ca="1" si="1"/>
        <v>1077.9943360765519</v>
      </c>
      <c r="D60" s="3">
        <f t="shared" ca="1" si="2"/>
        <v>2.542569049279197</v>
      </c>
      <c r="E60" s="3">
        <f t="shared" ca="1" si="3"/>
        <v>3.2132091590241063</v>
      </c>
      <c r="F60" s="3">
        <f t="shared" ca="1" si="4"/>
        <v>2.4381345845319657</v>
      </c>
      <c r="G60" s="3">
        <f t="shared" ca="1" si="5"/>
        <v>30.118328320397364</v>
      </c>
      <c r="H60" s="4">
        <f t="shared" ca="1" si="6"/>
        <v>807.48921530842597</v>
      </c>
      <c r="I60" s="2"/>
    </row>
    <row r="61" spans="1:9" x14ac:dyDescent="0.25">
      <c r="A61" s="7">
        <v>43739</v>
      </c>
      <c r="B61" s="3">
        <f t="shared" ca="1" si="0"/>
        <v>55.258076749269449</v>
      </c>
      <c r="C61" s="3">
        <f t="shared" ca="1" si="1"/>
        <v>1077.9817439060434</v>
      </c>
      <c r="D61" s="3">
        <f t="shared" ca="1" si="2"/>
        <v>2.8698601856363903</v>
      </c>
      <c r="E61" s="3">
        <f t="shared" ca="1" si="3"/>
        <v>3.8339901183223013</v>
      </c>
      <c r="F61" s="3">
        <f t="shared" ca="1" si="4"/>
        <v>2.0596007580780569</v>
      </c>
      <c r="G61" s="3">
        <f t="shared" ca="1" si="5"/>
        <v>30.093397553232826</v>
      </c>
      <c r="H61" s="4">
        <f t="shared" ca="1" si="6"/>
        <v>832.47412402677298</v>
      </c>
      <c r="I61" s="2"/>
    </row>
    <row r="62" spans="1:9" x14ac:dyDescent="0.25">
      <c r="A62" s="7">
        <v>43770</v>
      </c>
      <c r="B62" s="3">
        <f t="shared" ca="1" si="0"/>
        <v>55.199590173132059</v>
      </c>
      <c r="C62" s="3">
        <f t="shared" ca="1" si="1"/>
        <v>1078.0155430822676</v>
      </c>
      <c r="D62" s="3">
        <f t="shared" ca="1" si="2"/>
        <v>2.8358993860408073</v>
      </c>
      <c r="E62" s="3">
        <f t="shared" ca="1" si="3"/>
        <v>3.6125008842544108</v>
      </c>
      <c r="F62" s="3">
        <f t="shared" ca="1" si="4"/>
        <v>2.950170221416287</v>
      </c>
      <c r="G62" s="3">
        <f t="shared" ca="1" si="5"/>
        <v>29.891097930900873</v>
      </c>
      <c r="H62" s="4">
        <f t="shared" ca="1" si="6"/>
        <v>960.39740668271941</v>
      </c>
      <c r="I62" s="2"/>
    </row>
    <row r="63" spans="1:9" x14ac:dyDescent="0.25">
      <c r="A63" s="7">
        <v>43800</v>
      </c>
      <c r="B63" s="3">
        <f t="shared" ca="1" si="0"/>
        <v>55.548504443028939</v>
      </c>
      <c r="C63" s="3">
        <f t="shared" ca="1" si="1"/>
        <v>1077.9997628708682</v>
      </c>
      <c r="D63" s="3">
        <f t="shared" ca="1" si="2"/>
        <v>2.2660558834555111</v>
      </c>
      <c r="E63" s="3">
        <f t="shared" ca="1" si="3"/>
        <v>3.7836102982989743</v>
      </c>
      <c r="F63" s="3">
        <f t="shared" ca="1" si="4"/>
        <v>2.1189562411012055</v>
      </c>
      <c r="G63" s="3">
        <f t="shared" ca="1" si="5"/>
        <v>30.113653065181595</v>
      </c>
      <c r="H63" s="4">
        <f t="shared" ca="1" si="6"/>
        <v>943.60757016717889</v>
      </c>
      <c r="I63" s="2"/>
    </row>
    <row r="64" spans="1:9" x14ac:dyDescent="0.25">
      <c r="A64" s="7">
        <v>43831</v>
      </c>
      <c r="B64" s="3">
        <f t="shared" ca="1" si="0"/>
        <v>55.475998867785449</v>
      </c>
      <c r="C64" s="3">
        <f t="shared" ca="1" si="1"/>
        <v>1078.0000265937826</v>
      </c>
      <c r="D64" s="3">
        <f t="shared" ca="1" si="2"/>
        <v>2.9850582817170941</v>
      </c>
      <c r="E64" s="3">
        <f t="shared" ca="1" si="3"/>
        <v>3.7853292679583292</v>
      </c>
      <c r="F64" s="3">
        <f t="shared" ca="1" si="4"/>
        <v>2.912346681555384</v>
      </c>
      <c r="G64" s="3">
        <f t="shared" ca="1" si="5"/>
        <v>29.916139168621125</v>
      </c>
      <c r="H64" s="4">
        <f t="shared" ca="1" si="6"/>
        <v>813.85011466977232</v>
      </c>
      <c r="I64" s="2"/>
    </row>
    <row r="65" spans="1:9" x14ac:dyDescent="0.25">
      <c r="A65" s="7">
        <v>43862</v>
      </c>
      <c r="B65" s="3">
        <f t="shared" ca="1" si="0"/>
        <v>56.653874124757877</v>
      </c>
      <c r="C65" s="3">
        <f t="shared" ca="1" si="1"/>
        <v>1077.9868929236893</v>
      </c>
      <c r="D65" s="3">
        <f t="shared" ca="1" si="2"/>
        <v>2.3568155377400317</v>
      </c>
      <c r="E65" s="3">
        <f t="shared" ca="1" si="3"/>
        <v>3.1331135295275838</v>
      </c>
      <c r="F65" s="3">
        <f t="shared" ca="1" si="4"/>
        <v>3.1616289359852878</v>
      </c>
      <c r="G65" s="3">
        <f t="shared" ca="1" si="5"/>
        <v>29.823299976572667</v>
      </c>
      <c r="H65" s="4">
        <f t="shared" ca="1" si="6"/>
        <v>969.15687115798494</v>
      </c>
      <c r="I65" s="2"/>
    </row>
    <row r="66" spans="1:9" x14ac:dyDescent="0.25">
      <c r="A66" s="7">
        <v>43891</v>
      </c>
      <c r="B66" s="3">
        <f t="shared" ca="1" si="0"/>
        <v>55.073749145830497</v>
      </c>
      <c r="C66" s="3">
        <f t="shared" ca="1" si="1"/>
        <v>1078.0144695649092</v>
      </c>
      <c r="D66" s="3">
        <f t="shared" ca="1" si="2"/>
        <v>2.7732887746924693</v>
      </c>
      <c r="E66" s="3">
        <f t="shared" ca="1" si="3"/>
        <v>3.1668018123582895</v>
      </c>
      <c r="F66" s="3">
        <f t="shared" ca="1" si="4"/>
        <v>2.7245227440267481</v>
      </c>
      <c r="G66" s="3">
        <f t="shared" ca="1" si="5"/>
        <v>30.135839184426981</v>
      </c>
      <c r="H66" s="4">
        <f t="shared" ca="1" si="6"/>
        <v>932.16877140835891</v>
      </c>
      <c r="I66" s="2"/>
    </row>
    <row r="67" spans="1:9" x14ac:dyDescent="0.25">
      <c r="A67" s="7">
        <v>43922</v>
      </c>
      <c r="B67" s="3">
        <f t="shared" ca="1" si="0"/>
        <v>56.09735298123941</v>
      </c>
      <c r="C67" s="3">
        <f t="shared" ca="1" si="1"/>
        <v>1077.990816803356</v>
      </c>
      <c r="D67" s="3">
        <f t="shared" ca="1" si="2"/>
        <v>1.7165521260853969</v>
      </c>
      <c r="E67" s="3">
        <f t="shared" ca="1" si="3"/>
        <v>3.5631457842685275</v>
      </c>
      <c r="F67" s="3">
        <f t="shared" ca="1" si="4"/>
        <v>1.5078049601445465</v>
      </c>
      <c r="G67" s="3">
        <f t="shared" ca="1" si="5"/>
        <v>30.142871143151464</v>
      </c>
      <c r="H67" s="4">
        <f t="shared" ca="1" si="6"/>
        <v>862.30163127453579</v>
      </c>
      <c r="I67" s="2"/>
    </row>
    <row r="68" spans="1:9" x14ac:dyDescent="0.25">
      <c r="A68" s="7">
        <v>43952</v>
      </c>
      <c r="B68" s="3">
        <f t="shared" ca="1" si="0"/>
        <v>55.810379075365105</v>
      </c>
      <c r="C68" s="3">
        <f t="shared" ca="1" si="1"/>
        <v>1077.9965101455127</v>
      </c>
      <c r="D68" s="3">
        <f t="shared" ca="1" si="2"/>
        <v>2.8719510783325344</v>
      </c>
      <c r="E68" s="3">
        <f t="shared" ca="1" si="3"/>
        <v>3.6679473641595823</v>
      </c>
      <c r="F68" s="3">
        <f t="shared" ca="1" si="4"/>
        <v>2.2128202522545308</v>
      </c>
      <c r="G68" s="3">
        <f t="shared" ca="1" si="5"/>
        <v>29.825883075879513</v>
      </c>
      <c r="H68" s="4">
        <f t="shared" ca="1" si="6"/>
        <v>976.47681435994025</v>
      </c>
      <c r="I68" s="2"/>
    </row>
    <row r="69" spans="1:9" x14ac:dyDescent="0.25">
      <c r="A69" s="7">
        <v>43983</v>
      </c>
      <c r="B69" s="3">
        <f t="shared" ref="B69:B70" ca="1" si="7">RAND()*(57-55)+55</f>
        <v>55.234276602517923</v>
      </c>
      <c r="C69" s="3">
        <f t="shared" ref="C69:C70" ca="1" si="8">RAND()*(1078.02-1077.98)+1077.98</f>
        <v>1078.0126172021519</v>
      </c>
      <c r="D69" s="3">
        <f t="shared" ref="D69:D70" ca="1" si="9">RAND()*(3-1.5)+1.5</f>
        <v>2.1832137806771139</v>
      </c>
      <c r="E69" s="3">
        <f t="shared" ref="E69:E70" ca="1" si="10">RAND()*(4-3)+3</f>
        <v>3.648339431710319</v>
      </c>
      <c r="F69" s="3">
        <f t="shared" ref="F69:F70" ca="1" si="11">RAND()*(3.5-1.5)+1.5</f>
        <v>3.236184373549932</v>
      </c>
      <c r="G69" s="3">
        <f t="shared" ref="G69:G70" ca="1" si="12">RAND()*(30.25-29.75)+29.75</f>
        <v>30.160229484943187</v>
      </c>
      <c r="H69" s="4">
        <f t="shared" ref="H69:H70" ca="1" si="13">RAND()*(1000-800)+800</f>
        <v>847.58552419512773</v>
      </c>
      <c r="I69" s="2"/>
    </row>
    <row r="70" spans="1:9" x14ac:dyDescent="0.25">
      <c r="A70" s="7">
        <v>44013</v>
      </c>
      <c r="B70" s="3">
        <f t="shared" ca="1" si="7"/>
        <v>55.456598067570766</v>
      </c>
      <c r="C70" s="3">
        <f t="shared" ca="1" si="8"/>
        <v>1078.0067358554695</v>
      </c>
      <c r="D70" s="3">
        <f t="shared" ca="1" si="9"/>
        <v>2.9968200783874912</v>
      </c>
      <c r="E70" s="3">
        <f t="shared" ca="1" si="10"/>
        <v>3.1723343809547164</v>
      </c>
      <c r="F70" s="3">
        <f t="shared" ca="1" si="11"/>
        <v>2.4969828907730118</v>
      </c>
      <c r="G70" s="3">
        <f t="shared" ca="1" si="12"/>
        <v>29.997908628281753</v>
      </c>
      <c r="H70" s="4">
        <f t="shared" ca="1" si="13"/>
        <v>917.94794735210871</v>
      </c>
      <c r="I70" s="2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Aivanyuan@hotmail.com</dc:creator>
  <cp:lastModifiedBy>Aivanyuan@hotmail.com</cp:lastModifiedBy>
  <dcterms:created xsi:type="dcterms:W3CDTF">2026-02-27T08:23:22Z</dcterms:created>
  <dcterms:modified xsi:type="dcterms:W3CDTF">2026-02-27T08:53:19Z</dcterms:modified>
</cp:coreProperties>
</file>